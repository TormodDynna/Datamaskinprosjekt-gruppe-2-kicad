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<sst xmlns="http://schemas.openxmlformats.org/spreadsheetml/2006/main" count="169" uniqueCount="161">
  <si>
    <t xml:space="preserve">Komponent</t>
  </si>
  <si>
    <t xml:space="preserve">Produsent</t>
  </si>
  <si>
    <t xml:space="preserve">Modell</t>
  </si>
  <si>
    <t xml:space="preserve">Link</t>
  </si>
  <si>
    <t xml:space="preserve">Antall (per PCB)</t>
  </si>
  <si>
    <t xml:space="preserve">Antall (x3)</t>
  </si>
  <si>
    <t xml:space="preserve">Kjøpe</t>
  </si>
  <si>
    <t xml:space="preserve">Pris enkelt</t>
  </si>
  <si>
    <t xml:space="preserve">Pris tot</t>
  </si>
  <si>
    <t xml:space="preserve">Sendt inn</t>
  </si>
  <si>
    <t xml:space="preserve">MCU</t>
  </si>
  <si>
    <t xml:space="preserve">ST Electronics</t>
  </si>
  <si>
    <t xml:space="preserve">STM32U5G7VJT6Q</t>
  </si>
  <si>
    <t xml:space="preserve">https://www.digikey.no/no/products/detail/stmicroelectronics/STM32U5G7VJT6Q/21700656</t>
  </si>
  <si>
    <t xml:space="preserve">MCU/LCD 45-pin connector</t>
  </si>
  <si>
    <t xml:space="preserve">Hirose</t>
  </si>
  <si>
    <t xml:space="preserve">FH12-45S-0.5SH(55)</t>
  </si>
  <si>
    <t xml:space="preserve">https://www.digikey.no/no/products/detail/hirose-electric-co-ltd/FH12-45S-0-5SH-55/1110329</t>
  </si>
  <si>
    <t xml:space="preserve">MCU/LCD 6-pin connector</t>
  </si>
  <si>
    <t xml:space="preserve">FH12-6S-1SH(55)</t>
  </si>
  <si>
    <t xml:space="preserve">https://www.digikey.no/no/products/detail/hirose-electric-co-ltd/FH12-6S-1SH-55/1110359?s=N4IgTCBcDaIGIAkCMYC0A2AyqpmEAoBWQgShAF0BfIA</t>
  </si>
  <si>
    <t xml:space="preserve">LCD Breakout 45-pin</t>
  </si>
  <si>
    <t xml:space="preserve">Adafruit</t>
  </si>
  <si>
    <t xml:space="preserve">https://www.digikey.no/no/products/detail/adafruit-industries-llc/1492/5154671</t>
  </si>
  <si>
    <t xml:space="preserve">LCD Breakout 6-pin</t>
  </si>
  <si>
    <t xml:space="preserve">Chip Quick</t>
  </si>
  <si>
    <t xml:space="preserve">FPC100P010</t>
  </si>
  <si>
    <t xml:space="preserve">https://www.digikey.no/no/products/detail/chip-quik-inc/FPC100P010/5014766</t>
  </si>
  <si>
    <t xml:space="preserve">LCD Display</t>
  </si>
  <si>
    <t xml:space="preserve">Mouser</t>
  </si>
  <si>
    <t xml:space="preserve">758-DT043CTFTIPS-PTS</t>
  </si>
  <si>
    <t xml:space="preserve">https://no.mouser.com/ProductDetail/Displaytech/DT043CTFT-IPS-PTS?qs=sGAEpiMZZMt7dcPGmvnkBgpwamjCGwcHY0DbS%252B%2F%2FaodWnRIGq7eMYg%3D%3D</t>
  </si>
  <si>
    <t xml:space="preserve">15V Power Jack</t>
  </si>
  <si>
    <t xml:space="preserve">Same Sky</t>
  </si>
  <si>
    <t xml:space="preserve">PJ-002A</t>
  </si>
  <si>
    <t xml:space="preserve">https://www.digikey.no/no/products/detail/same-sky-formerly-cui-devices/PJ-002A/96962 </t>
  </si>
  <si>
    <t xml:space="preserve">15V Power Supply</t>
  </si>
  <si>
    <t xml:space="preserve">Phihong</t>
  </si>
  <si>
    <t xml:space="preserve">PSA15R-150P6-R</t>
  </si>
  <si>
    <t xml:space="preserve">https://www.digikey.no/no/products/detail/phihong-usa/PSA15R-150P6-R/5247157</t>
  </si>
  <si>
    <t xml:space="preserve">MCU Debug Connector</t>
  </si>
  <si>
    <t xml:space="preserve">STLINK-V3MINIE</t>
  </si>
  <si>
    <t xml:space="preserve">https://www.digikey.no/no/products/detail/stmicroelectronics/STLINK-V3MINIE/16284301 </t>
  </si>
  <si>
    <t xml:space="preserve">-</t>
  </si>
  <si>
    <t xml:space="preserve">USB-A</t>
  </si>
  <si>
    <t xml:space="preserve">On Shore Technology Inc.</t>
  </si>
  <si>
    <t xml:space="preserve">USB-A1HSW6</t>
  </si>
  <si>
    <t xml:space="preserve">https://www.digikey.no/no/products/detail/on-shore-technology-inc/USB-A1HSW6/2677750 </t>
  </si>
  <si>
    <t xml:space="preserve">LED (Grønn)</t>
  </si>
  <si>
    <t xml:space="preserve">Lite-On Inc.</t>
  </si>
  <si>
    <t xml:space="preserve">LTST-C193KGKT-5A </t>
  </si>
  <si>
    <t xml:space="preserve">https://www.digikey.no/no/products/detail/liteon/LTST-C193KGKT-5A/2356242 </t>
  </si>
  <si>
    <t xml:space="preserve">LED (Rød)</t>
  </si>
  <si>
    <t xml:space="preserve">LTST-C193KRKT-5A</t>
  </si>
  <si>
    <t xml:space="preserve">https://www.digikey.no/no/products/detail/liteon/LTST-C193KRKT-5A/2356244 </t>
  </si>
  <si>
    <t xml:space="preserve">Krystall (48 MHz, MCU)</t>
  </si>
  <si>
    <t xml:space="preserve">Murata Electronics</t>
  </si>
  <si>
    <t xml:space="preserve">XRCGB48M000F4M00R0</t>
  </si>
  <si>
    <t xml:space="preserve">https://www.digikey.no/no/products/detail/murata-electronics/XRCGB48M000F4M00R0/2368388 </t>
  </si>
  <si>
    <t xml:space="preserve">Oscillator (100MHz, FPGA)</t>
  </si>
  <si>
    <t xml:space="preserve">Connor Winfield</t>
  </si>
  <si>
    <t xml:space="preserve">CWX813-100.0M</t>
  </si>
  <si>
    <t xml:space="preserve">https://www.digikey.no/no/products/detail/connor-winfield/CWX813-100-0M/695541 </t>
  </si>
  <si>
    <t xml:space="preserve">Flash (FPGA)</t>
  </si>
  <si>
    <t xml:space="preserve">GigaDevice Semiconductor</t>
  </si>
  <si>
    <t xml:space="preserve">GD25F128FS2GR</t>
  </si>
  <si>
    <t xml:space="preserve">https://www.digikey.no/no/products/detail/gigadevice-semiconductor-hk-limited/GD25F128FS2GR/20531633 </t>
  </si>
  <si>
    <t xml:space="preserve">Nedtransformator (Power Supply)</t>
  </si>
  <si>
    <t xml:space="preserve">Texas Instruments</t>
  </si>
  <si>
    <t xml:space="preserve">TPS54294PWP</t>
  </si>
  <si>
    <t xml:space="preserve">https://www.digikey.no/no/products/detail/texas-instruments/TPS54294PWP/2812688 </t>
  </si>
  <si>
    <t xml:space="preserve">SRAM (FPGA)</t>
  </si>
  <si>
    <t xml:space="preserve">Integrated Silicon Solution Inc.</t>
  </si>
  <si>
    <t xml:space="preserve">IS66WVH16M8DBLL-100B1LI</t>
  </si>
  <si>
    <t xml:space="preserve">https://www.digikey.no/no/products/detail/issi-integrated-silicon-solution-inc/IS66WVH16M8DBLL-100B1LI/6202025 </t>
  </si>
  <si>
    <t xml:space="preserve">FPGA Debug Header (2x7, 2.54mm)</t>
  </si>
  <si>
    <t xml:space="preserve">Sullins Connector Solutions</t>
  </si>
  <si>
    <t xml:space="preserve">SBH11-PBPC-D07-ST-BK</t>
  </si>
  <si>
    <t xml:space="preserve">https://www.digikey.no/en/products/detail/sullins-connector-solutions/SBH11-PBPC-D07-ST-BK/1990063</t>
  </si>
  <si>
    <t xml:space="preserve">FPGA pin header (2x7, 2.54mm)</t>
  </si>
  <si>
    <t xml:space="preserve">MCU Debug Header (2x7, 1.27mm)</t>
  </si>
  <si>
    <t xml:space="preserve">CNC Tech</t>
  </si>
  <si>
    <t xml:space="preserve">1175-1630-ND</t>
  </si>
  <si>
    <t xml:space="preserve">https://www.digikey.no/en/products/detail/cnc-tech/3220-14-0100-00/3883664</t>
  </si>
  <si>
    <t xml:space="preserve">MCU pin header (1x8, 2.54mm)</t>
  </si>
  <si>
    <t xml:space="preserve">Würth Elektronik</t>
  </si>
  <si>
    <t xml:space="preserve">https://www.digikey.no/en/products/detail/w%C3%BCrth-elektronik/61300811121/4846839</t>
  </si>
  <si>
    <t xml:space="preserve">FPGA </t>
  </si>
  <si>
    <t xml:space="preserve">AMD</t>
  </si>
  <si>
    <t xml:space="preserve">XC7A100T-2FTG256I</t>
  </si>
  <si>
    <t xml:space="preserve">https://www.digikey.no/no/products/detail/amd/XC7A100T-2FTG256I/3925791?s=N4IgTCBcDaIBoGEDsBBAjABgwFQLRgDFsBxMAVgDYBJEAXQF8g </t>
  </si>
  <si>
    <t xml:space="preserve">VGA-port</t>
  </si>
  <si>
    <t xml:space="preserve">Amphenol ICC</t>
  </si>
  <si>
    <t xml:space="preserve">L77HDE15SD1CH4RHNVGA</t>
  </si>
  <si>
    <t xml:space="preserve">https://www.digikey.no/en/products/detail/amphenol-cs-commercial-products/L77HDE15SD1CH4RHNVGA/25816614 </t>
  </si>
  <si>
    <t xml:space="preserve">PWR Header Pin (2x1, 2.54mm)</t>
  </si>
  <si>
    <t xml:space="preserve">https://www.digikey.no/no/products/detail/w%C3%BCrth-elektronik/61300211121/4846823</t>
  </si>
  <si>
    <t xml:space="preserve">Jumper cap</t>
  </si>
  <si>
    <t xml:space="preserve">S9337-ND</t>
  </si>
  <si>
    <t xml:space="preserve">https://www.digikey.no/en/products/detail/sullins-connector-solutions/QPC02SXGN-RC/2618262</t>
  </si>
  <si>
    <t xml:space="preserve">Motstander</t>
  </si>
  <si>
    <t xml:space="preserve">47ohm</t>
  </si>
  <si>
    <t xml:space="preserve">https://www.digikey.no/no/products/detail/stackpole-electronics-inc/RMCF0805JT47R0/1757848 </t>
  </si>
  <si>
    <t xml:space="preserve">100ohm</t>
  </si>
  <si>
    <t xml:space="preserve">https://www.digikey.no/no/products/detail/panasonic-electronic-components/ERA-6AEB101V/1465724 </t>
  </si>
  <si>
    <t xml:space="preserve">270ohm</t>
  </si>
  <si>
    <t xml:space="preserve">https://www.digikey.no/no/products/detail/vishay-dale/CRCW0805270RFKEAC/7922379  </t>
  </si>
  <si>
    <t xml:space="preserve">330ohm</t>
  </si>
  <si>
    <t xml:space="preserve">https://www.digikey.no/no/products/detail/stackpole-electronics-inc/RMCF0805FT330R/1760484</t>
  </si>
  <si>
    <t xml:space="preserve">536ohm</t>
  </si>
  <si>
    <t xml:space="preserve">https://www.digikey.no/no/products/detail/yageo/RC0805FR-07536RL/728026 </t>
  </si>
  <si>
    <t xml:space="preserve">2.4k</t>
  </si>
  <si>
    <t xml:space="preserve">https://www.digikey.no/no/products/detail/yageo/RC0805FR-072K4L/727690</t>
  </si>
  <si>
    <t xml:space="preserve">4.7k</t>
  </si>
  <si>
    <t xml:space="preserve">https://www.digikey.no/no/products/detail/vishay-dale/CRCW08054K70FKEAC/7928553 </t>
  </si>
  <si>
    <t xml:space="preserve">6.81k</t>
  </si>
  <si>
    <t xml:space="preserve">https://www.digikey.no/no/products/detail/yageo/RC0805FR-076K81L/728068 </t>
  </si>
  <si>
    <t xml:space="preserve">10k</t>
  </si>
  <si>
    <t xml:space="preserve">https://www.digikey.no/no/products/detail/susumu/RR1220P-103-D/432315 </t>
  </si>
  <si>
    <t xml:space="preserve">22.1k</t>
  </si>
  <si>
    <t xml:space="preserve">https://www.digikey.no/no/products/detail/stackpole-electronics-inc/RMCF0805FT22K1/1760211 </t>
  </si>
  <si>
    <t xml:space="preserve">30.1k</t>
  </si>
  <si>
    <t xml:space="preserve">https://www.digikey.no/no/products/detail/vishay-dale/CRCW080530K1FKEA/1175804 </t>
  </si>
  <si>
    <t xml:space="preserve">73.2k</t>
  </si>
  <si>
    <t xml:space="preserve">https://www.digikey.no/no/products/detail/panasonic-electronic-components/ERA-6AEB7322V/2025832 </t>
  </si>
  <si>
    <t xml:space="preserve">100k</t>
  </si>
  <si>
    <t xml:space="preserve">https://www.digikey.no/no/products/detail/susumu/RG2012P-104-B-T5/1240656 </t>
  </si>
  <si>
    <t xml:space="preserve">124k</t>
  </si>
  <si>
    <t xml:space="preserve">https://www.digikey.no/no/products/detail/yageo/RC0805FR-07124KL/727580 </t>
  </si>
  <si>
    <t xml:space="preserve">Kondensator</t>
  </si>
  <si>
    <t xml:space="preserve">6p</t>
  </si>
  <si>
    <t xml:space="preserve">https://www.digikey.no/no/products/detail/kyocera-avx/08055A6R0CAT2A/1602729 </t>
  </si>
  <si>
    <t xml:space="preserve">100n</t>
  </si>
  <si>
    <t xml:space="preserve">https://www.digikey.no/no/products/detail/kemet/C0805C104K5RACTU/411169 </t>
  </si>
  <si>
    <t xml:space="preserve">470n </t>
  </si>
  <si>
    <t xml:space="preserve">https://www.digikey.no/no/products/detail/murata-electronics/GCJ21BR71H474KA12L/2783815 </t>
  </si>
  <si>
    <t xml:space="preserve">1u</t>
  </si>
  <si>
    <t xml:space="preserve">https://www.digikey.no/no/products/detail/samsung-electro-mechanics/CL21B105KAFNNNE/3886724 </t>
  </si>
  <si>
    <t xml:space="preserve">2.2u</t>
  </si>
  <si>
    <t xml:space="preserve">https://www.digikey.no/no/products/detail/tdk-corporation/C2012X7R1C225K125AB/569046 </t>
  </si>
  <si>
    <t xml:space="preserve">4.7u</t>
  </si>
  <si>
    <t xml:space="preserve">https://www.digikey.no/no/products/detail/samsung-electro-mechanics/CL21A475KAQNNNE/3886902 </t>
  </si>
  <si>
    <t xml:space="preserve">47u</t>
  </si>
  <si>
    <t xml:space="preserve">https://www.digikey.no/no/products/detail/samsung-electro-mechanics/CL21A476MQYNNNE/3887510 </t>
  </si>
  <si>
    <t xml:space="preserve">10u</t>
  </si>
  <si>
    <t xml:space="preserve">https://www.digikey.no/no/products/detail/samsung-electro-mechanics/CL31B106KAHNNNE/3887462</t>
  </si>
  <si>
    <t xml:space="preserve">22u</t>
  </si>
  <si>
    <t xml:space="preserve">https://www.digikey.no/no/products/detail/samsung-electro-mechanics/CL31A226KAHNNNE/3888705 </t>
  </si>
  <si>
    <t xml:space="preserve">100u</t>
  </si>
  <si>
    <t xml:space="preserve">https://www.digikey.no/no/products/detail/samsung-electro-mechanics/CL31A107MQHNNWE/10479833 </t>
  </si>
  <si>
    <t xml:space="preserve">330u</t>
  </si>
  <si>
    <t xml:space="preserve">https://www.digikey.no/no/products/detail/murata-electronics/GRM32ER60G337ME05L/6155746 </t>
  </si>
  <si>
    <t xml:space="preserve">Spoler</t>
  </si>
  <si>
    <t xml:space="preserve">1,5u</t>
  </si>
  <si>
    <t xml:space="preserve">https://www.digikey.no/no/products/detail/murata-electronics/LQM21PN1R5MC0D/1788280</t>
  </si>
  <si>
    <t xml:space="preserve">2,2u</t>
  </si>
  <si>
    <t xml:space="preserve">https://www.digikey.no/no/products/detail/murata-electronics/DFE201210U-2R2M-P2/7595453 </t>
  </si>
  <si>
    <t xml:space="preserve">3,3u</t>
  </si>
  <si>
    <t xml:space="preserve">https://www.digikey.no/no/products/detail/murata-electronics/LQM21PN3R3MGRD/4359175 </t>
  </si>
  <si>
    <t xml:space="preserve">tot sum</t>
  </si>
  <si>
    <t xml:space="preserve">kr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</si>
</sst>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 %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1"/>
    <cellStyle name="Hyperlink 2" xfId="2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no/no/products/detail/stmicroelectronics/STM32U5G7VJT6Q/21700656" TargetMode="External"/><Relationship Id="rId2" Type="http://schemas.openxmlformats.org/officeDocument/2006/relationships/hyperlink" Target="https://www.digikey.no/no/products/detail/hirose-electric-co-ltd/FH12-45S-0-5SH-55/1110329" TargetMode="External"/><Relationship Id="rId3" Type="http://schemas.openxmlformats.org/officeDocument/2006/relationships/hyperlink" Target="https://www.digikey.no/no/products/detail/hirose-electric-co-ltd/FH12-6S-1SH-55/1110359?s=N4IgTCBcDaIGIAkCMYC0A2AyqpmEAoBWQgShAF0BfIA" TargetMode="External"/><Relationship Id="rId4" Type="http://schemas.openxmlformats.org/officeDocument/2006/relationships/hyperlink" Target="https://www.digikey.no/no/products/detail/adafruit-industries-llc/1492/5154671" TargetMode="External"/><Relationship Id="rId5" Type="http://schemas.openxmlformats.org/officeDocument/2006/relationships/hyperlink" Target="https://www.digikey.no/no/products/detail/chip-quik-inc/FPC100P010/5014766" TargetMode="External"/><Relationship Id="rId6" Type="http://schemas.openxmlformats.org/officeDocument/2006/relationships/hyperlink" Target="https://no.mouser.com/ProductDetail/Displaytech/DT043CTFT-IPS-PTS?qs=sGAEpiMZZMt7dcPGmvnkBgpwamjCGwcHY0DbS%252B%2F%2FaodWnRIGq7eMYg%3D%3D" TargetMode="External"/><Relationship Id="rId7" Type="http://schemas.openxmlformats.org/officeDocument/2006/relationships/hyperlink" Target="https://www.digikey.no/no/products/detail/same-sky-formerly-cui-devices/PJ-002A/96962" TargetMode="External"/><Relationship Id="rId8" Type="http://schemas.openxmlformats.org/officeDocument/2006/relationships/hyperlink" Target="https://www.digikey.no/no/products/detail/phihong-usa/PSA15R-150P6-R/5247157" TargetMode="External"/><Relationship Id="rId9" Type="http://schemas.openxmlformats.org/officeDocument/2006/relationships/hyperlink" Target="https://www.digikey.no/no/products/detail/stmicroelectronics/STLINK-V3MINIE/16284301" TargetMode="External"/><Relationship Id="rId10" Type="http://schemas.openxmlformats.org/officeDocument/2006/relationships/hyperlink" Target="https://www.digikey.no/no/products/detail/on-shore-technology-inc/USB-A1HSW6/2677750" TargetMode="External"/><Relationship Id="rId11" Type="http://schemas.openxmlformats.org/officeDocument/2006/relationships/hyperlink" Target="https://www.digikey.no/no/products/detail/liteon/LTST-C193KGKT-5A/2356242" TargetMode="External"/><Relationship Id="rId12" Type="http://schemas.openxmlformats.org/officeDocument/2006/relationships/hyperlink" Target="https://www.digikey.no/no/products/detail/liteon/LTST-C193KRKT-5A/2356244" TargetMode="External"/><Relationship Id="rId13" Type="http://schemas.openxmlformats.org/officeDocument/2006/relationships/hyperlink" Target="https://www.digikey.no/no/products/detail/murata-electronics/XRCGB48M000F4M00R0/2368388" TargetMode="External"/><Relationship Id="rId14" Type="http://schemas.openxmlformats.org/officeDocument/2006/relationships/hyperlink" Target="https://www.digikey.no/no/products/detail/connor-winfield/CWX813-100-0M/695541" TargetMode="External"/><Relationship Id="rId15" Type="http://schemas.openxmlformats.org/officeDocument/2006/relationships/hyperlink" Target="https://www.digikey.no/no/products/detail/gigadevice-semiconductor-hk-limited/GD25F128FS2GR/20531633" TargetMode="External"/><Relationship Id="rId16" Type="http://schemas.openxmlformats.org/officeDocument/2006/relationships/hyperlink" Target="https://www.digikey.no/no/products/detail/texas-instruments/TPS54294PWP/2812688" TargetMode="External"/><Relationship Id="rId17" Type="http://schemas.openxmlformats.org/officeDocument/2006/relationships/hyperlink" Target="https://www.digikey.no/no/products/detail/issi-integrated-silicon-solution-inc/IS66WVH16M8DBLL-100B1LI/6202025" TargetMode="External"/><Relationship Id="rId18" Type="http://schemas.openxmlformats.org/officeDocument/2006/relationships/hyperlink" Target="https://www.digikey.no/no/products/detail/amd/XC7A100T-2FTG256I/3925791?s=N4IgTCBcDaIBoGEDsBBAjABgwFQLRgDFsBxMAVgDYBJEAXQF8g" TargetMode="External"/><Relationship Id="rId19" Type="http://schemas.openxmlformats.org/officeDocument/2006/relationships/hyperlink" Target="https://www.digikey.no/en/products/detail/amphenol-cs-commercial-products/L77HDE15SD1CH4RHNVGA/25816614" TargetMode="External"/><Relationship Id="rId20" Type="http://schemas.openxmlformats.org/officeDocument/2006/relationships/hyperlink" Target="https://www.digikey.no/no/products/detail/stackpole-electronics-inc/RMCF0805JT47R0/1757848" TargetMode="External"/><Relationship Id="rId21" Type="http://schemas.openxmlformats.org/officeDocument/2006/relationships/hyperlink" Target="https://www.digikey.no/no/products/detail/panasonic-electronic-components/ERA-6AEB101V/1465724" TargetMode="External"/><Relationship Id="rId22" Type="http://schemas.openxmlformats.org/officeDocument/2006/relationships/hyperlink" Target="https://www.digikey.no/no/products/detail/vishay-dale/CRCW0805270RFKEAC/7922379" TargetMode="External"/><Relationship Id="rId23" Type="http://schemas.openxmlformats.org/officeDocument/2006/relationships/hyperlink" Target="https://www.digikey.no/no/products/detail/stackpole-electronics-inc/RMCF0805FT330R/1760484" TargetMode="External"/><Relationship Id="rId24" Type="http://schemas.openxmlformats.org/officeDocument/2006/relationships/hyperlink" Target="https://www.digikey.no/no/products/detail/yageo/RC0805FR-07536RL/728026" TargetMode="External"/><Relationship Id="rId25" Type="http://schemas.openxmlformats.org/officeDocument/2006/relationships/hyperlink" Target="https://www.digikey.no/no/products/detail/yageo/RC0805FR-072K4L/727690" TargetMode="External"/><Relationship Id="rId26" Type="http://schemas.openxmlformats.org/officeDocument/2006/relationships/hyperlink" Target="https://www.digikey.no/no/products/detail/vishay-dale/CRCW08054K70FKEAC/7928553" TargetMode="External"/><Relationship Id="rId27" Type="http://schemas.openxmlformats.org/officeDocument/2006/relationships/hyperlink" Target="https://www.digikey.no/no/products/detail/yageo/RC0805FR-076K81L/728068" TargetMode="External"/><Relationship Id="rId28" Type="http://schemas.openxmlformats.org/officeDocument/2006/relationships/hyperlink" Target="https://www.digikey.no/no/products/detail/susumu/RR1220P-103-D/432315" TargetMode="External"/><Relationship Id="rId29" Type="http://schemas.openxmlformats.org/officeDocument/2006/relationships/hyperlink" Target="https://www.digikey.no/no/products/detail/stackpole-electronics-inc/RMCF0805FT22K1/1760211" TargetMode="External"/><Relationship Id="rId30" Type="http://schemas.openxmlformats.org/officeDocument/2006/relationships/hyperlink" Target="https://www.digikey.no/no/products/detail/vishay-dale/CRCW080530K1FKEA/1175804" TargetMode="External"/><Relationship Id="rId31" Type="http://schemas.openxmlformats.org/officeDocument/2006/relationships/hyperlink" Target="https://www.digikey.no/no/products/detail/panasonic-electronic-components/ERA-6AEB7322V/2025832" TargetMode="External"/><Relationship Id="rId32" Type="http://schemas.openxmlformats.org/officeDocument/2006/relationships/hyperlink" Target="https://www.digikey.no/no/products/detail/susumu/RG2012P-104-B-T5/1240656" TargetMode="External"/><Relationship Id="rId33" Type="http://schemas.openxmlformats.org/officeDocument/2006/relationships/hyperlink" Target="https://www.digikey.no/no/products/detail/yageo/RC0805FR-07124KL/727580" TargetMode="External"/><Relationship Id="rId34" Type="http://schemas.openxmlformats.org/officeDocument/2006/relationships/hyperlink" Target="https://www.digikey.no/no/products/detail/kyocera-avx/08055A6R0CAT2A/1602729" TargetMode="External"/><Relationship Id="rId35" Type="http://schemas.openxmlformats.org/officeDocument/2006/relationships/hyperlink" Target="https://www.digikey.no/no/products/detail/kemet/C0805C104K5RACTU/411169" TargetMode="External"/><Relationship Id="rId36" Type="http://schemas.openxmlformats.org/officeDocument/2006/relationships/hyperlink" Target="https://www.digikey.no/no/products/detail/murata-electronics/GCJ21BR71H474KA12L/2783815" TargetMode="External"/><Relationship Id="rId37" Type="http://schemas.openxmlformats.org/officeDocument/2006/relationships/hyperlink" Target="https://www.digikey.no/no/products/detail/samsung-electro-mechanics/CL21B105KAFNNNE/3886724" TargetMode="External"/><Relationship Id="rId38" Type="http://schemas.openxmlformats.org/officeDocument/2006/relationships/hyperlink" Target="https://www.digikey.no/no/products/detail/tdk-corporation/C2012X7R1C225K125AB/569046" TargetMode="External"/><Relationship Id="rId39" Type="http://schemas.openxmlformats.org/officeDocument/2006/relationships/hyperlink" Target="https://www.digikey.no/no/products/detail/samsung-electro-mechanics/CL21A475KAQNNNE/3886902" TargetMode="External"/><Relationship Id="rId40" Type="http://schemas.openxmlformats.org/officeDocument/2006/relationships/hyperlink" Target="https://www.digikey.no/no/products/detail/samsung-electro-mechanics/CL21A476MQYNNNE/3887510" TargetMode="External"/><Relationship Id="rId41" Type="http://schemas.openxmlformats.org/officeDocument/2006/relationships/hyperlink" Target="https://www.digikey.no/no/products/detail/samsung-electro-mechanics/CL31B106KAHNNNE/3887462" TargetMode="External"/><Relationship Id="rId42" Type="http://schemas.openxmlformats.org/officeDocument/2006/relationships/hyperlink" Target="https://www.digikey.no/no/products/detail/samsung-electro-mechanics/CL31A226KAHNNNE/3888705" TargetMode="External"/><Relationship Id="rId43" Type="http://schemas.openxmlformats.org/officeDocument/2006/relationships/hyperlink" Target="https://www.digikey.no/no/products/detail/samsung-electro-mechanics/CL31A107MQHNNWE/10479833" TargetMode="External"/><Relationship Id="rId44" Type="http://schemas.openxmlformats.org/officeDocument/2006/relationships/hyperlink" Target="https://www.digikey.no/no/products/detail/murata-electronics/GRM32ER60G337ME05L/6155746" TargetMode="External"/><Relationship Id="rId45" Type="http://schemas.openxmlformats.org/officeDocument/2006/relationships/hyperlink" Target="https://www.digikey.no/no/products/detail/murata-electronics/LQM21PN1R5MC0D/1788280" TargetMode="External"/><Relationship Id="rId46" Type="http://schemas.openxmlformats.org/officeDocument/2006/relationships/hyperlink" Target="https://www.digikey.no/no/products/detail/murata-electronics/DFE201210U-2R2M-P2/7595453" TargetMode="External"/><Relationship Id="rId47" Type="http://schemas.openxmlformats.org/officeDocument/2006/relationships/hyperlink" Target="https://www.digikey.no/no/products/detail/murata-electronics/LQM21PN3R3MGRD/435917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65" activeCellId="0" sqref="B65"/>
    </sheetView>
  </sheetViews>
  <sheetFormatPr defaultColWidth="8.55859375" defaultRowHeight="15" customHeight="true" zeroHeight="false" outlineLevelRow="0" outlineLevelCol="0"/>
  <cols>
    <col collapsed="false" customWidth="true" hidden="false" outlineLevel="0" max="1" min="1" style="1" width="10.11"/>
    <col collapsed="false" customWidth="true" hidden="false" outlineLevel="0" max="2" min="2" style="1" width="30.44"/>
    <col collapsed="false" customWidth="true" hidden="false" outlineLevel="0" max="3" min="3" style="1" width="28.22"/>
    <col collapsed="false" customWidth="true" hidden="false" outlineLevel="0" max="4" min="4" style="1" width="32.22"/>
    <col collapsed="false" customWidth="true" hidden="false" outlineLevel="0" max="5" min="5" style="1" width="33.56"/>
    <col collapsed="false" customWidth="true" hidden="false" outlineLevel="0" max="6" min="6" style="1" width="14.89"/>
    <col collapsed="false" customWidth="true" hidden="false" outlineLevel="0" max="7" min="7" style="1" width="9.66"/>
    <col collapsed="false" customWidth="true" hidden="false" outlineLevel="0" max="8" min="8" style="1" width="5.56"/>
    <col collapsed="false" customWidth="true" hidden="false" outlineLevel="0" max="9" min="9" style="1" width="9.33"/>
    <col collapsed="false" customWidth="true" hidden="false" outlineLevel="0" max="10" min="10" style="1" width="6.67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customFormat="false" ht="16.4" hidden="false" customHeight="false" outlineLevel="0" collapsed="false">
      <c r="B3" s="1" t="s">
        <v>10</v>
      </c>
      <c r="C3" s="1" t="s">
        <v>11</v>
      </c>
      <c r="D3" s="1" t="s">
        <v>12</v>
      </c>
      <c r="E3" s="2" t="s">
        <v>13</v>
      </c>
      <c r="F3" s="1" t="n">
        <v>1</v>
      </c>
      <c r="G3" s="1" t="n">
        <f aca="false">F3*3</f>
        <v>3</v>
      </c>
      <c r="H3" s="1" t="n">
        <v>3</v>
      </c>
      <c r="I3" s="1" t="n">
        <v>173.7</v>
      </c>
      <c r="J3" s="1" t="n">
        <f aca="false">H3*I3</f>
        <v>521.1</v>
      </c>
      <c r="K3" s="1" t="b">
        <f aca="false">FALSE()</f>
        <v>0</v>
      </c>
    </row>
    <row r="4" customFormat="false" ht="16.4" hidden="false" customHeight="false" outlineLevel="0" collapsed="false">
      <c r="B4" s="1" t="s">
        <v>14</v>
      </c>
      <c r="C4" s="1" t="s">
        <v>15</v>
      </c>
      <c r="D4" s="1" t="s">
        <v>16</v>
      </c>
      <c r="E4" s="2" t="s">
        <v>17</v>
      </c>
      <c r="F4" s="1" t="n">
        <v>1</v>
      </c>
      <c r="G4" s="1" t="n">
        <f aca="false">F4*3</f>
        <v>3</v>
      </c>
      <c r="H4" s="1" t="n">
        <v>3</v>
      </c>
      <c r="I4" s="1" t="n">
        <v>29.03</v>
      </c>
      <c r="J4" s="1" t="n">
        <f aca="false">H4*I4</f>
        <v>87.09</v>
      </c>
      <c r="K4" s="1" t="b">
        <f aca="false">TRUE()</f>
        <v>1</v>
      </c>
    </row>
    <row r="5" customFormat="false" ht="16.4" hidden="false" customHeight="false" outlineLevel="0" collapsed="false">
      <c r="B5" s="1" t="s">
        <v>18</v>
      </c>
      <c r="C5" s="1" t="s">
        <v>15</v>
      </c>
      <c r="D5" s="1" t="s">
        <v>19</v>
      </c>
      <c r="E5" s="2" t="s">
        <v>20</v>
      </c>
      <c r="F5" s="1" t="n">
        <v>1</v>
      </c>
      <c r="G5" s="1" t="n">
        <f aca="false">F5*3</f>
        <v>3</v>
      </c>
      <c r="H5" s="1" t="n">
        <v>3</v>
      </c>
      <c r="I5" s="1" t="n">
        <v>10.09</v>
      </c>
      <c r="J5" s="1" t="n">
        <f aca="false">H5*I5</f>
        <v>30.27</v>
      </c>
      <c r="K5" s="1" t="b">
        <f aca="false">TRUE()</f>
        <v>1</v>
      </c>
    </row>
    <row r="6" customFormat="false" ht="16.4" hidden="false" customHeight="false" outlineLevel="0" collapsed="false">
      <c r="B6" s="1" t="s">
        <v>21</v>
      </c>
      <c r="C6" s="1" t="s">
        <v>22</v>
      </c>
      <c r="D6" s="1" t="n">
        <v>1492</v>
      </c>
      <c r="E6" s="2" t="s">
        <v>23</v>
      </c>
      <c r="F6" s="1" t="n">
        <v>1</v>
      </c>
      <c r="G6" s="1" t="n">
        <f aca="false">F6*3</f>
        <v>3</v>
      </c>
      <c r="H6" s="1" t="n">
        <v>3</v>
      </c>
      <c r="I6" s="1" t="n">
        <v>30.05</v>
      </c>
      <c r="J6" s="1" t="n">
        <f aca="false">H6*I6</f>
        <v>90.15</v>
      </c>
      <c r="K6" s="1" t="b">
        <f aca="false">TRUE()</f>
        <v>1</v>
      </c>
    </row>
    <row r="7" customFormat="false" ht="16.4" hidden="false" customHeight="false" outlineLevel="0" collapsed="false">
      <c r="B7" s="1" t="s">
        <v>24</v>
      </c>
      <c r="C7" s="1" t="s">
        <v>25</v>
      </c>
      <c r="D7" s="1" t="s">
        <v>26</v>
      </c>
      <c r="E7" s="3" t="s">
        <v>27</v>
      </c>
      <c r="F7" s="1" t="n">
        <v>1</v>
      </c>
      <c r="G7" s="1" t="n">
        <f aca="false">F7*3</f>
        <v>3</v>
      </c>
      <c r="H7" s="1" t="n">
        <v>3</v>
      </c>
      <c r="I7" s="1" t="n">
        <v>37.59</v>
      </c>
      <c r="J7" s="1" t="n">
        <f aca="false">H7*I7</f>
        <v>112.77</v>
      </c>
      <c r="K7" s="1" t="b">
        <f aca="false">TRUE()</f>
        <v>1</v>
      </c>
    </row>
    <row r="8" customFormat="false" ht="17.25" hidden="false" customHeight="true" outlineLevel="0" collapsed="false">
      <c r="B8" s="1" t="s">
        <v>28</v>
      </c>
      <c r="C8" s="1" t="s">
        <v>29</v>
      </c>
      <c r="D8" s="4" t="s">
        <v>30</v>
      </c>
      <c r="E8" s="3" t="s">
        <v>31</v>
      </c>
      <c r="F8" s="1" t="n">
        <v>1</v>
      </c>
      <c r="G8" s="1" t="n">
        <f aca="false">F8*3</f>
        <v>3</v>
      </c>
      <c r="H8" s="1" t="n">
        <v>3</v>
      </c>
      <c r="I8" s="1" t="n">
        <v>542.36</v>
      </c>
      <c r="J8" s="1" t="n">
        <f aca="false">H8*I8</f>
        <v>1627.08</v>
      </c>
      <c r="K8" s="1" t="b">
        <f aca="false">TRUE()</f>
        <v>1</v>
      </c>
    </row>
    <row r="9" customFormat="false" ht="16.4" hidden="false" customHeight="false" outlineLevel="0" collapsed="false">
      <c r="A9" s="5"/>
      <c r="B9" s="1" t="s">
        <v>32</v>
      </c>
      <c r="C9" s="1" t="s">
        <v>33</v>
      </c>
      <c r="D9" s="1" t="s">
        <v>34</v>
      </c>
      <c r="E9" s="3" t="s">
        <v>35</v>
      </c>
      <c r="F9" s="1" t="n">
        <v>1</v>
      </c>
      <c r="G9" s="1" t="n">
        <f aca="false">F9*3</f>
        <v>3</v>
      </c>
      <c r="H9" s="1" t="n">
        <v>3</v>
      </c>
      <c r="I9" s="1" t="n">
        <v>5.3</v>
      </c>
      <c r="J9" s="1" t="n">
        <f aca="false">H9*I9</f>
        <v>15.9</v>
      </c>
      <c r="K9" s="1" t="b">
        <f aca="false">FALSE()</f>
        <v>0</v>
      </c>
    </row>
    <row r="10" customFormat="false" ht="16.4" hidden="false" customHeight="false" outlineLevel="0" collapsed="false">
      <c r="B10" s="1" t="s">
        <v>36</v>
      </c>
      <c r="C10" s="1" t="s">
        <v>37</v>
      </c>
      <c r="D10" s="1" t="s">
        <v>38</v>
      </c>
      <c r="E10" s="6" t="s">
        <v>39</v>
      </c>
      <c r="F10" s="1" t="n">
        <v>1</v>
      </c>
      <c r="G10" s="1" t="n">
        <f aca="false">F10*3</f>
        <v>3</v>
      </c>
      <c r="H10" s="1" t="n">
        <v>3</v>
      </c>
      <c r="I10" s="1" t="n">
        <v>93.52</v>
      </c>
      <c r="J10" s="1" t="n">
        <f aca="false">H10*I10</f>
        <v>280.56</v>
      </c>
      <c r="K10" s="1" t="b">
        <f aca="false">FALSE()</f>
        <v>0</v>
      </c>
    </row>
    <row r="11" customFormat="false" ht="15" hidden="false" customHeight="true" outlineLevel="0" collapsed="false">
      <c r="B11" s="1" t="s">
        <v>40</v>
      </c>
      <c r="C11" s="1" t="s">
        <v>11</v>
      </c>
      <c r="D11" s="1" t="s">
        <v>41</v>
      </c>
      <c r="E11" s="3" t="s">
        <v>42</v>
      </c>
      <c r="F11" s="1" t="s">
        <v>43</v>
      </c>
      <c r="J11" s="1" t="n">
        <f aca="false">H11*I11</f>
        <v>0</v>
      </c>
      <c r="K11" s="1" t="b">
        <f aca="false">FALSE()</f>
        <v>0</v>
      </c>
    </row>
    <row r="12" customFormat="false" ht="15" hidden="false" customHeight="true" outlineLevel="0" collapsed="false">
      <c r="B12" s="1" t="s">
        <v>44</v>
      </c>
      <c r="C12" s="1" t="s">
        <v>45</v>
      </c>
      <c r="D12" s="1" t="s">
        <v>46</v>
      </c>
      <c r="E12" s="7" t="s">
        <v>47</v>
      </c>
      <c r="F12" s="1" t="n">
        <v>1</v>
      </c>
      <c r="G12" s="1" t="n">
        <f aca="false">F12*3</f>
        <v>3</v>
      </c>
      <c r="H12" s="1" t="n">
        <v>4</v>
      </c>
      <c r="I12" s="1" t="n">
        <v>5.09</v>
      </c>
      <c r="J12" s="1" t="n">
        <f aca="false">H12*I12</f>
        <v>20.36</v>
      </c>
      <c r="K12" s="1" t="b">
        <f aca="false">FALSE()</f>
        <v>0</v>
      </c>
    </row>
    <row r="13" customFormat="false" ht="15" hidden="false" customHeight="true" outlineLevel="0" collapsed="false">
      <c r="G13" s="1" t="n">
        <f aca="false">F13*3</f>
        <v>0</v>
      </c>
      <c r="K13" s="1" t="b">
        <f aca="false">FALSE()</f>
        <v>0</v>
      </c>
    </row>
    <row r="14" customFormat="false" ht="15" hidden="false" customHeight="true" outlineLevel="0" collapsed="false">
      <c r="B14" s="1" t="s">
        <v>48</v>
      </c>
      <c r="C14" s="1" t="s">
        <v>49</v>
      </c>
      <c r="D14" s="1" t="s">
        <v>50</v>
      </c>
      <c r="E14" s="3" t="s">
        <v>51</v>
      </c>
      <c r="F14" s="1" t="n">
        <v>3</v>
      </c>
      <c r="G14" s="1" t="n">
        <f aca="false">F14*3</f>
        <v>9</v>
      </c>
      <c r="H14" s="1" t="n">
        <v>12</v>
      </c>
      <c r="I14" s="1" t="n">
        <v>2.04</v>
      </c>
      <c r="J14" s="1" t="n">
        <f aca="false">H14*I14</f>
        <v>24.48</v>
      </c>
      <c r="K14" s="1" t="b">
        <f aca="false">FALSE()</f>
        <v>0</v>
      </c>
    </row>
    <row r="15" customFormat="false" ht="15" hidden="false" customHeight="true" outlineLevel="0" collapsed="false">
      <c r="B15" s="1" t="s">
        <v>52</v>
      </c>
      <c r="C15" s="1" t="s">
        <v>49</v>
      </c>
      <c r="D15" s="1" t="s">
        <v>53</v>
      </c>
      <c r="E15" s="3" t="s">
        <v>54</v>
      </c>
      <c r="F15" s="1" t="n">
        <v>2</v>
      </c>
      <c r="G15" s="1" t="n">
        <f aca="false">F15*3</f>
        <v>6</v>
      </c>
      <c r="H15" s="1" t="n">
        <v>8</v>
      </c>
      <c r="I15" s="1" t="n">
        <v>1.73</v>
      </c>
      <c r="J15" s="1" t="n">
        <f aca="false">H15*I15</f>
        <v>13.84</v>
      </c>
      <c r="K15" s="1" t="b">
        <f aca="false">FALSE()</f>
        <v>0</v>
      </c>
    </row>
    <row r="16" customFormat="false" ht="15" hidden="false" customHeight="true" outlineLevel="0" collapsed="false">
      <c r="B16" s="1" t="s">
        <v>55</v>
      </c>
      <c r="C16" s="1" t="s">
        <v>56</v>
      </c>
      <c r="D16" s="1" t="s">
        <v>57</v>
      </c>
      <c r="E16" s="3" t="s">
        <v>58</v>
      </c>
      <c r="F16" s="1" t="n">
        <v>1</v>
      </c>
      <c r="G16" s="1" t="n">
        <f aca="false">F16*3</f>
        <v>3</v>
      </c>
      <c r="H16" s="1" t="n">
        <v>4</v>
      </c>
      <c r="I16" s="1" t="n">
        <v>3.06</v>
      </c>
      <c r="J16" s="1" t="n">
        <f aca="false">H16*I16</f>
        <v>12.24</v>
      </c>
      <c r="K16" s="1" t="b">
        <f aca="false">FALSE()</f>
        <v>0</v>
      </c>
    </row>
    <row r="17" customFormat="false" ht="15" hidden="false" customHeight="true" outlineLevel="0" collapsed="false">
      <c r="B17" s="1" t="s">
        <v>59</v>
      </c>
      <c r="C17" s="1" t="s">
        <v>60</v>
      </c>
      <c r="D17" s="1" t="s">
        <v>61</v>
      </c>
      <c r="E17" s="3" t="s">
        <v>62</v>
      </c>
      <c r="F17" s="1" t="n">
        <v>1</v>
      </c>
      <c r="G17" s="1" t="n">
        <f aca="false">F17*3</f>
        <v>3</v>
      </c>
      <c r="H17" s="1" t="n">
        <v>3</v>
      </c>
      <c r="I17" s="1" t="n">
        <v>51.96</v>
      </c>
      <c r="J17" s="1" t="n">
        <f aca="false">H17*I17</f>
        <v>155.88</v>
      </c>
      <c r="K17" s="1" t="b">
        <f aca="false">FALSE()</f>
        <v>0</v>
      </c>
    </row>
    <row r="18" customFormat="false" ht="15" hidden="false" customHeight="true" outlineLevel="0" collapsed="false">
      <c r="B18" s="1" t="s">
        <v>63</v>
      </c>
      <c r="C18" s="1" t="s">
        <v>64</v>
      </c>
      <c r="D18" s="1" t="s">
        <v>65</v>
      </c>
      <c r="E18" s="3" t="s">
        <v>66</v>
      </c>
      <c r="F18" s="1" t="n">
        <v>1</v>
      </c>
      <c r="G18" s="1" t="n">
        <f aca="false">F18*3</f>
        <v>3</v>
      </c>
      <c r="H18" s="1" t="n">
        <v>4</v>
      </c>
      <c r="I18" s="1" t="n">
        <v>38.1</v>
      </c>
      <c r="J18" s="1" t="n">
        <f aca="false">H18*I18</f>
        <v>152.4</v>
      </c>
      <c r="K18" s="1" t="b">
        <f aca="false">FALSE()</f>
        <v>0</v>
      </c>
    </row>
    <row r="19" customFormat="false" ht="15" hidden="false" customHeight="true" outlineLevel="0" collapsed="false">
      <c r="B19" s="1" t="s">
        <v>67</v>
      </c>
      <c r="C19" s="1" t="s">
        <v>68</v>
      </c>
      <c r="D19" s="1" t="s">
        <v>69</v>
      </c>
      <c r="E19" s="3" t="s">
        <v>70</v>
      </c>
      <c r="F19" s="1" t="n">
        <v>2</v>
      </c>
      <c r="G19" s="1" t="n">
        <f aca="false">F19*3</f>
        <v>6</v>
      </c>
      <c r="H19" s="1" t="n">
        <v>7</v>
      </c>
      <c r="I19" s="1" t="n">
        <v>33.21</v>
      </c>
      <c r="J19" s="1" t="n">
        <f aca="false">H19*I19</f>
        <v>232.47</v>
      </c>
      <c r="K19" s="1" t="b">
        <f aca="false">FALSE()</f>
        <v>0</v>
      </c>
    </row>
    <row r="20" customFormat="false" ht="15" hidden="false" customHeight="true" outlineLevel="0" collapsed="false">
      <c r="B20" s="1" t="s">
        <v>71</v>
      </c>
      <c r="C20" s="1" t="s">
        <v>72</v>
      </c>
      <c r="D20" s="1" t="s">
        <v>73</v>
      </c>
      <c r="E20" s="3" t="s">
        <v>74</v>
      </c>
      <c r="F20" s="1" t="n">
        <v>1</v>
      </c>
      <c r="G20" s="1" t="n">
        <f aca="false">F20*3</f>
        <v>3</v>
      </c>
      <c r="H20" s="1" t="n">
        <v>5</v>
      </c>
      <c r="I20" s="1" t="n">
        <v>48.9</v>
      </c>
      <c r="J20" s="1" t="n">
        <f aca="false">H20*I20</f>
        <v>244.5</v>
      </c>
      <c r="K20" s="1" t="b">
        <f aca="false">FALSE()</f>
        <v>0</v>
      </c>
    </row>
    <row r="21" customFormat="false" ht="15" hidden="false" customHeight="true" outlineLevel="0" collapsed="false">
      <c r="B21" s="1" t="s">
        <v>75</v>
      </c>
      <c r="C21" s="1" t="s">
        <v>76</v>
      </c>
      <c r="D21" s="1" t="s">
        <v>77</v>
      </c>
      <c r="E21" s="1" t="s">
        <v>78</v>
      </c>
      <c r="F21" s="1" t="n">
        <v>1</v>
      </c>
      <c r="G21" s="1" t="n">
        <f aca="false">F21*3</f>
        <v>3</v>
      </c>
      <c r="H21" s="1" t="n">
        <v>3</v>
      </c>
      <c r="I21" s="1" t="n">
        <v>3.26</v>
      </c>
      <c r="J21" s="1" t="n">
        <f aca="false">H21*I21</f>
        <v>9.78</v>
      </c>
      <c r="K21" s="1" t="b">
        <f aca="false">FALSE()</f>
        <v>0</v>
      </c>
    </row>
    <row r="22" customFormat="false" ht="15" hidden="false" customHeight="true" outlineLevel="0" collapsed="false">
      <c r="B22" s="1" t="s">
        <v>79</v>
      </c>
      <c r="C22" s="1" t="s">
        <v>76</v>
      </c>
      <c r="D22" s="1" t="s">
        <v>77</v>
      </c>
      <c r="E22" s="1" t="s">
        <v>78</v>
      </c>
      <c r="F22" s="1" t="n">
        <v>1</v>
      </c>
      <c r="G22" s="1" t="n">
        <f aca="false">F22*3</f>
        <v>3</v>
      </c>
      <c r="H22" s="1" t="n">
        <v>3</v>
      </c>
      <c r="I22" s="1" t="n">
        <v>3.26</v>
      </c>
      <c r="J22" s="1" t="n">
        <f aca="false">H22*I22</f>
        <v>9.78</v>
      </c>
      <c r="K22" s="1" t="b">
        <f aca="false">FALSE()</f>
        <v>0</v>
      </c>
    </row>
    <row r="23" customFormat="false" ht="15" hidden="false" customHeight="true" outlineLevel="0" collapsed="false">
      <c r="B23" s="1" t="s">
        <v>80</v>
      </c>
      <c r="C23" s="1" t="s">
        <v>81</v>
      </c>
      <c r="D23" s="1" t="s">
        <v>82</v>
      </c>
      <c r="E23" s="1" t="s">
        <v>83</v>
      </c>
      <c r="F23" s="1" t="n">
        <v>1</v>
      </c>
      <c r="G23" s="1" t="n">
        <f aca="false">F23*3</f>
        <v>3</v>
      </c>
      <c r="H23" s="1" t="n">
        <v>3</v>
      </c>
      <c r="I23" s="1" t="n">
        <v>7.74</v>
      </c>
      <c r="J23" s="1" t="n">
        <f aca="false">H23*I23</f>
        <v>23.22</v>
      </c>
      <c r="K23" s="1" t="b">
        <f aca="false">FALSE()</f>
        <v>0</v>
      </c>
    </row>
    <row r="24" customFormat="false" ht="15" hidden="false" customHeight="true" outlineLevel="0" collapsed="false">
      <c r="B24" s="1" t="s">
        <v>84</v>
      </c>
      <c r="C24" s="1" t="s">
        <v>85</v>
      </c>
      <c r="D24" s="1" t="n">
        <v>61300811121</v>
      </c>
      <c r="E24" s="1" t="s">
        <v>86</v>
      </c>
      <c r="F24" s="1" t="n">
        <v>1</v>
      </c>
      <c r="G24" s="1" t="n">
        <f aca="false">F24*3</f>
        <v>3</v>
      </c>
      <c r="H24" s="1" t="n">
        <v>3</v>
      </c>
      <c r="I24" s="1" t="n">
        <v>3.67</v>
      </c>
      <c r="J24" s="1" t="n">
        <f aca="false">H24*I24</f>
        <v>11.01</v>
      </c>
      <c r="K24" s="1" t="b">
        <f aca="false">FALSE()</f>
        <v>0</v>
      </c>
    </row>
    <row r="25" customFormat="false" ht="15" hidden="false" customHeight="true" outlineLevel="0" collapsed="false">
      <c r="B25" s="1" t="s">
        <v>87</v>
      </c>
      <c r="C25" s="1" t="s">
        <v>88</v>
      </c>
      <c r="D25" s="1" t="s">
        <v>89</v>
      </c>
      <c r="E25" s="3" t="s">
        <v>90</v>
      </c>
      <c r="F25" s="1" t="n">
        <v>1</v>
      </c>
      <c r="G25" s="1" t="n">
        <f aca="false">F25*3</f>
        <v>3</v>
      </c>
      <c r="H25" s="1" t="n">
        <v>3</v>
      </c>
      <c r="I25" s="1" t="n">
        <v>1774.7</v>
      </c>
      <c r="J25" s="1" t="n">
        <f aca="false">H25*I25</f>
        <v>5324.1</v>
      </c>
      <c r="K25" s="1" t="b">
        <f aca="false">FALSE()</f>
        <v>0</v>
      </c>
    </row>
    <row r="26" customFormat="false" ht="15" hidden="false" customHeight="true" outlineLevel="0" collapsed="false">
      <c r="B26" s="1" t="s">
        <v>91</v>
      </c>
      <c r="C26" s="1" t="s">
        <v>92</v>
      </c>
      <c r="D26" s="8" t="s">
        <v>93</v>
      </c>
      <c r="E26" s="3" t="s">
        <v>94</v>
      </c>
      <c r="F26" s="1" t="n">
        <v>1</v>
      </c>
      <c r="G26" s="1" t="n">
        <f aca="false">F26*3</f>
        <v>3</v>
      </c>
      <c r="H26" s="1" t="n">
        <v>3</v>
      </c>
      <c r="I26" s="1" t="n">
        <v>19.05</v>
      </c>
      <c r="J26" s="1" t="n">
        <f aca="false">H26*I26</f>
        <v>57.15</v>
      </c>
      <c r="K26" s="1" t="b">
        <f aca="false">FALSE()</f>
        <v>0</v>
      </c>
    </row>
    <row r="27" customFormat="false" ht="15" hidden="false" customHeight="true" outlineLevel="0" collapsed="false">
      <c r="B27" s="1" t="s">
        <v>95</v>
      </c>
      <c r="C27" s="1" t="s">
        <v>85</v>
      </c>
      <c r="D27" s="1" t="n">
        <v>61300211121</v>
      </c>
      <c r="E27" s="1" t="s">
        <v>96</v>
      </c>
      <c r="F27" s="1" t="n">
        <v>4</v>
      </c>
      <c r="G27" s="1" t="n">
        <f aca="false">F27*3</f>
        <v>12</v>
      </c>
      <c r="H27" s="1" t="n">
        <v>12</v>
      </c>
      <c r="I27" s="1" t="n">
        <v>1.22</v>
      </c>
      <c r="J27" s="1" t="n">
        <f aca="false">H27*I27</f>
        <v>14.64</v>
      </c>
      <c r="K27" s="1" t="b">
        <f aca="false">FALSE()</f>
        <v>0</v>
      </c>
    </row>
    <row r="28" customFormat="false" ht="15" hidden="false" customHeight="true" outlineLevel="0" collapsed="false">
      <c r="B28" s="1" t="s">
        <v>97</v>
      </c>
      <c r="C28" s="1" t="s">
        <v>76</v>
      </c>
      <c r="D28" s="1" t="s">
        <v>98</v>
      </c>
      <c r="E28" s="1" t="s">
        <v>99</v>
      </c>
      <c r="F28" s="1" t="n">
        <v>4</v>
      </c>
      <c r="G28" s="1" t="n">
        <f aca="false">F28*3</f>
        <v>12</v>
      </c>
      <c r="H28" s="1" t="n">
        <v>12</v>
      </c>
      <c r="I28" s="1" t="n">
        <v>1.02</v>
      </c>
      <c r="J28" s="1" t="n">
        <f aca="false">H28*I28</f>
        <v>12.24</v>
      </c>
      <c r="K28" s="1" t="b">
        <f aca="false">FALSE()</f>
        <v>0</v>
      </c>
    </row>
    <row r="30" customFormat="false" ht="15" hidden="false" customHeight="true" outlineLevel="0" collapsed="false">
      <c r="B30" s="1" t="s">
        <v>100</v>
      </c>
    </row>
    <row r="31" customFormat="false" ht="15" hidden="false" customHeight="true" outlineLevel="0" collapsed="false">
      <c r="B31" s="1" t="s">
        <v>101</v>
      </c>
      <c r="C31" s="1" t="n">
        <v>805</v>
      </c>
      <c r="E31" s="3" t="s">
        <v>102</v>
      </c>
      <c r="F31" s="1" t="n">
        <v>4</v>
      </c>
      <c r="G31" s="1" t="n">
        <f aca="false">F31*3</f>
        <v>12</v>
      </c>
      <c r="H31" s="1" t="n">
        <v>16</v>
      </c>
      <c r="I31" s="1" t="n">
        <v>1.02</v>
      </c>
      <c r="J31" s="1" t="n">
        <f aca="false">H31*I31</f>
        <v>16.32</v>
      </c>
      <c r="K31" s="1" t="b">
        <f aca="false">FALSE()</f>
        <v>0</v>
      </c>
    </row>
    <row r="32" customFormat="false" ht="15" hidden="false" customHeight="true" outlineLevel="0" collapsed="false">
      <c r="B32" s="1" t="s">
        <v>103</v>
      </c>
      <c r="C32" s="1" t="n">
        <v>805</v>
      </c>
      <c r="E32" s="3" t="s">
        <v>104</v>
      </c>
      <c r="F32" s="1" t="n">
        <v>2</v>
      </c>
      <c r="G32" s="1" t="n">
        <f aca="false">F32*3</f>
        <v>6</v>
      </c>
      <c r="H32" s="1" t="n">
        <v>8</v>
      </c>
      <c r="I32" s="1" t="n">
        <v>1.02</v>
      </c>
      <c r="J32" s="1" t="n">
        <f aca="false">H32*I32</f>
        <v>8.16</v>
      </c>
      <c r="K32" s="1" t="b">
        <f aca="false">FALSE()</f>
        <v>0</v>
      </c>
    </row>
    <row r="33" customFormat="false" ht="15" hidden="false" customHeight="true" outlineLevel="0" collapsed="false">
      <c r="B33" s="1" t="s">
        <v>105</v>
      </c>
      <c r="C33" s="1" t="n">
        <v>805</v>
      </c>
      <c r="E33" s="3" t="s">
        <v>106</v>
      </c>
      <c r="F33" s="1" t="n">
        <v>14</v>
      </c>
      <c r="G33" s="1" t="n">
        <f aca="false">F33*3</f>
        <v>42</v>
      </c>
      <c r="H33" s="1" t="n">
        <v>50</v>
      </c>
      <c r="I33" s="1" t="n">
        <v>1.02</v>
      </c>
      <c r="J33" s="1" t="n">
        <f aca="false">H33*I33</f>
        <v>51</v>
      </c>
      <c r="K33" s="1" t="b">
        <f aca="false">FALSE()</f>
        <v>0</v>
      </c>
    </row>
    <row r="34" customFormat="false" ht="15" hidden="false" customHeight="true" outlineLevel="0" collapsed="false">
      <c r="B34" s="1" t="s">
        <v>107</v>
      </c>
      <c r="C34" s="1" t="n">
        <v>805</v>
      </c>
      <c r="E34" s="3" t="s">
        <v>108</v>
      </c>
      <c r="F34" s="1" t="n">
        <v>1</v>
      </c>
      <c r="G34" s="1" t="n">
        <f aca="false">F34*3</f>
        <v>3</v>
      </c>
      <c r="H34" s="1" t="n">
        <v>5</v>
      </c>
      <c r="I34" s="1" t="n">
        <v>1.02</v>
      </c>
      <c r="J34" s="1" t="n">
        <f aca="false">H34*I34</f>
        <v>5.1</v>
      </c>
      <c r="K34" s="1" t="b">
        <f aca="false">FALSE()</f>
        <v>0</v>
      </c>
    </row>
    <row r="35" customFormat="false" ht="15" hidden="false" customHeight="true" outlineLevel="0" collapsed="false">
      <c r="B35" s="1" t="s">
        <v>109</v>
      </c>
      <c r="C35" s="1" t="n">
        <v>805</v>
      </c>
      <c r="E35" s="3" t="s">
        <v>110</v>
      </c>
      <c r="F35" s="1" t="n">
        <v>15</v>
      </c>
      <c r="G35" s="1" t="n">
        <f aca="false">F35*3</f>
        <v>45</v>
      </c>
      <c r="H35" s="1" t="n">
        <v>55</v>
      </c>
      <c r="I35" s="1" t="n">
        <v>1.02</v>
      </c>
      <c r="J35" s="1" t="n">
        <f aca="false">H35*I35</f>
        <v>56.1</v>
      </c>
      <c r="K35" s="1" t="b">
        <f aca="false">FALSE()</f>
        <v>0</v>
      </c>
    </row>
    <row r="36" customFormat="false" ht="15" hidden="false" customHeight="true" outlineLevel="0" collapsed="false">
      <c r="B36" s="1" t="s">
        <v>111</v>
      </c>
      <c r="C36" s="1" t="n">
        <v>805</v>
      </c>
      <c r="E36" s="3" t="s">
        <v>112</v>
      </c>
      <c r="F36" s="1" t="n">
        <v>1</v>
      </c>
      <c r="G36" s="1" t="n">
        <f aca="false">F36*3</f>
        <v>3</v>
      </c>
      <c r="H36" s="1" t="n">
        <v>5</v>
      </c>
      <c r="I36" s="1" t="n">
        <v>1.02</v>
      </c>
      <c r="J36" s="1" t="n">
        <f aca="false">H36*I36</f>
        <v>5.1</v>
      </c>
      <c r="K36" s="1" t="b">
        <f aca="false">FALSE()</f>
        <v>0</v>
      </c>
    </row>
    <row r="37" customFormat="false" ht="15" hidden="false" customHeight="true" outlineLevel="0" collapsed="false">
      <c r="B37" s="1" t="s">
        <v>113</v>
      </c>
      <c r="C37" s="1" t="n">
        <v>805</v>
      </c>
      <c r="E37" s="3" t="s">
        <v>114</v>
      </c>
      <c r="F37" s="1" t="n">
        <v>13</v>
      </c>
      <c r="G37" s="1" t="n">
        <f aca="false">F37*3</f>
        <v>39</v>
      </c>
      <c r="H37" s="1" t="n">
        <v>44</v>
      </c>
      <c r="I37" s="1" t="n">
        <v>1.02</v>
      </c>
      <c r="J37" s="1" t="n">
        <f aca="false">H37*I37</f>
        <v>44.88</v>
      </c>
      <c r="K37" s="1" t="b">
        <f aca="false">FALSE()</f>
        <v>0</v>
      </c>
    </row>
    <row r="38" customFormat="false" ht="15" hidden="false" customHeight="true" outlineLevel="0" collapsed="false">
      <c r="B38" s="1" t="s">
        <v>115</v>
      </c>
      <c r="C38" s="1" t="n">
        <v>805</v>
      </c>
      <c r="E38" s="3" t="s">
        <v>116</v>
      </c>
      <c r="F38" s="1" t="n">
        <v>1</v>
      </c>
      <c r="G38" s="1" t="n">
        <f aca="false">F38*3</f>
        <v>3</v>
      </c>
      <c r="H38" s="1" t="n">
        <v>5</v>
      </c>
      <c r="I38" s="1" t="n">
        <v>1.02</v>
      </c>
      <c r="J38" s="1" t="n">
        <f aca="false">H38*I38</f>
        <v>5.1</v>
      </c>
      <c r="K38" s="1" t="b">
        <f aca="false">FALSE()</f>
        <v>0</v>
      </c>
    </row>
    <row r="39" customFormat="false" ht="15" hidden="false" customHeight="true" outlineLevel="0" collapsed="false">
      <c r="B39" s="1" t="s">
        <v>117</v>
      </c>
      <c r="C39" s="1" t="n">
        <v>805</v>
      </c>
      <c r="E39" s="3" t="s">
        <v>118</v>
      </c>
      <c r="F39" s="1" t="n">
        <v>4</v>
      </c>
      <c r="G39" s="1" t="n">
        <f aca="false">F39*3</f>
        <v>12</v>
      </c>
      <c r="H39" s="1" t="n">
        <v>15</v>
      </c>
      <c r="I39" s="1" t="n">
        <v>1.02</v>
      </c>
      <c r="J39" s="1" t="n">
        <f aca="false">H39*I39</f>
        <v>15.3</v>
      </c>
      <c r="K39" s="1" t="b">
        <f aca="false">FALSE()</f>
        <v>0</v>
      </c>
    </row>
    <row r="40" customFormat="false" ht="15" hidden="false" customHeight="true" outlineLevel="0" collapsed="false">
      <c r="B40" s="1" t="s">
        <v>119</v>
      </c>
      <c r="C40" s="1" t="n">
        <v>805</v>
      </c>
      <c r="E40" s="3" t="s">
        <v>120</v>
      </c>
      <c r="F40" s="1" t="n">
        <v>4</v>
      </c>
      <c r="G40" s="1" t="n">
        <f aca="false">F40*3</f>
        <v>12</v>
      </c>
      <c r="H40" s="1" t="n">
        <v>15</v>
      </c>
      <c r="I40" s="1" t="n">
        <v>1.02</v>
      </c>
      <c r="J40" s="1" t="n">
        <f aca="false">H40*I40</f>
        <v>15.3</v>
      </c>
      <c r="K40" s="1" t="b">
        <f aca="false">FALSE()</f>
        <v>0</v>
      </c>
    </row>
    <row r="41" customFormat="false" ht="15" hidden="false" customHeight="true" outlineLevel="0" collapsed="false">
      <c r="B41" s="1" t="s">
        <v>121</v>
      </c>
      <c r="C41" s="1" t="n">
        <v>805</v>
      </c>
      <c r="E41" s="3" t="s">
        <v>122</v>
      </c>
      <c r="F41" s="1" t="n">
        <v>1</v>
      </c>
      <c r="G41" s="1" t="n">
        <f aca="false">F41*3</f>
        <v>3</v>
      </c>
      <c r="H41" s="1" t="n">
        <v>5</v>
      </c>
      <c r="I41" s="1" t="n">
        <v>1.02</v>
      </c>
      <c r="J41" s="1" t="n">
        <f aca="false">H41*I41</f>
        <v>5.1</v>
      </c>
      <c r="K41" s="1" t="b">
        <f aca="false">FALSE()</f>
        <v>0</v>
      </c>
    </row>
    <row r="42" customFormat="false" ht="15" hidden="false" customHeight="true" outlineLevel="0" collapsed="false">
      <c r="B42" s="1" t="s">
        <v>123</v>
      </c>
      <c r="C42" s="1" t="n">
        <v>805</v>
      </c>
      <c r="E42" s="3" t="s">
        <v>124</v>
      </c>
      <c r="F42" s="1" t="n">
        <v>1</v>
      </c>
      <c r="G42" s="1" t="n">
        <f aca="false">F42*3</f>
        <v>3</v>
      </c>
      <c r="H42" s="1" t="n">
        <v>5</v>
      </c>
      <c r="I42" s="1" t="n">
        <v>1.02</v>
      </c>
      <c r="J42" s="1" t="n">
        <f aca="false">H42*I42</f>
        <v>5.1</v>
      </c>
      <c r="K42" s="1" t="b">
        <f aca="false">FALSE()</f>
        <v>0</v>
      </c>
    </row>
    <row r="43" customFormat="false" ht="15" hidden="false" customHeight="true" outlineLevel="0" collapsed="false">
      <c r="B43" s="1" t="s">
        <v>125</v>
      </c>
      <c r="C43" s="1" t="n">
        <v>805</v>
      </c>
      <c r="E43" s="3" t="s">
        <v>126</v>
      </c>
      <c r="F43" s="1" t="n">
        <v>16</v>
      </c>
      <c r="G43" s="1" t="n">
        <f aca="false">F43*3</f>
        <v>48</v>
      </c>
      <c r="H43" s="1" t="n">
        <v>55</v>
      </c>
      <c r="I43" s="1" t="n">
        <v>1.02</v>
      </c>
      <c r="J43" s="1" t="n">
        <f aca="false">H43*I43</f>
        <v>56.1</v>
      </c>
      <c r="K43" s="1" t="b">
        <f aca="false">FALSE()</f>
        <v>0</v>
      </c>
    </row>
    <row r="44" customFormat="false" ht="15" hidden="false" customHeight="true" outlineLevel="0" collapsed="false">
      <c r="B44" s="1" t="s">
        <v>127</v>
      </c>
      <c r="C44" s="1" t="n">
        <v>805</v>
      </c>
      <c r="E44" s="3" t="s">
        <v>128</v>
      </c>
      <c r="F44" s="1" t="n">
        <v>1</v>
      </c>
      <c r="G44" s="1" t="n">
        <f aca="false">F44*3</f>
        <v>3</v>
      </c>
      <c r="H44" s="1" t="n">
        <v>5</v>
      </c>
      <c r="I44" s="1" t="n">
        <v>1.02</v>
      </c>
      <c r="J44" s="1" t="n">
        <f aca="false">H44*I44</f>
        <v>5.1</v>
      </c>
      <c r="K44" s="1" t="b">
        <f aca="false">FALSE()</f>
        <v>0</v>
      </c>
    </row>
    <row r="46" customFormat="false" ht="15" hidden="false" customHeight="true" outlineLevel="0" collapsed="false">
      <c r="B46" s="1" t="s">
        <v>129</v>
      </c>
    </row>
    <row r="47" customFormat="false" ht="15" hidden="false" customHeight="true" outlineLevel="0" collapsed="false">
      <c r="B47" s="1" t="s">
        <v>130</v>
      </c>
      <c r="C47" s="1" t="n">
        <v>805</v>
      </c>
      <c r="E47" s="3" t="s">
        <v>131</v>
      </c>
      <c r="F47" s="1" t="n">
        <v>2</v>
      </c>
      <c r="G47" s="1" t="n">
        <f aca="false">F47*3</f>
        <v>6</v>
      </c>
      <c r="H47" s="1" t="n">
        <v>8</v>
      </c>
      <c r="I47" s="1" t="n">
        <v>2.04</v>
      </c>
      <c r="J47" s="1" t="n">
        <f aca="false">H47*I47</f>
        <v>16.32</v>
      </c>
      <c r="K47" s="1" t="b">
        <f aca="false">FALSE()</f>
        <v>0</v>
      </c>
    </row>
    <row r="48" customFormat="false" ht="15" hidden="false" customHeight="true" outlineLevel="0" collapsed="false">
      <c r="B48" s="1" t="s">
        <v>132</v>
      </c>
      <c r="C48" s="1" t="n">
        <v>805</v>
      </c>
      <c r="E48" s="3" t="s">
        <v>133</v>
      </c>
      <c r="F48" s="1" t="n">
        <v>21</v>
      </c>
      <c r="G48" s="1" t="n">
        <f aca="false">F48*3</f>
        <v>63</v>
      </c>
      <c r="H48" s="1" t="n">
        <v>70</v>
      </c>
      <c r="I48" s="1" t="n">
        <v>0.82</v>
      </c>
      <c r="J48" s="1" t="n">
        <f aca="false">H48*I48</f>
        <v>57.4</v>
      </c>
      <c r="K48" s="1" t="b">
        <f aca="false">FALSE()</f>
        <v>0</v>
      </c>
    </row>
    <row r="49" customFormat="false" ht="15" hidden="false" customHeight="true" outlineLevel="0" collapsed="false">
      <c r="B49" s="1" t="s">
        <v>134</v>
      </c>
      <c r="C49" s="1" t="n">
        <v>805</v>
      </c>
      <c r="E49" s="3" t="s">
        <v>135</v>
      </c>
      <c r="F49" s="1" t="n">
        <v>21</v>
      </c>
      <c r="G49" s="1" t="n">
        <f aca="false">F49*3</f>
        <v>63</v>
      </c>
      <c r="H49" s="1" t="n">
        <v>70</v>
      </c>
      <c r="I49" s="1" t="n">
        <v>2.65</v>
      </c>
      <c r="J49" s="1" t="n">
        <f aca="false">H49*I49</f>
        <v>185.5</v>
      </c>
      <c r="K49" s="1" t="b">
        <f aca="false">FALSE()</f>
        <v>0</v>
      </c>
    </row>
    <row r="50" customFormat="false" ht="15" hidden="false" customHeight="true" outlineLevel="0" collapsed="false">
      <c r="B50" s="1" t="s">
        <v>136</v>
      </c>
      <c r="C50" s="1" t="n">
        <v>805</v>
      </c>
      <c r="E50" s="3" t="s">
        <v>137</v>
      </c>
      <c r="F50" s="1" t="n">
        <v>6</v>
      </c>
      <c r="G50" s="1" t="n">
        <f aca="false">F50*3</f>
        <v>18</v>
      </c>
      <c r="H50" s="1" t="n">
        <v>22</v>
      </c>
      <c r="I50" s="1" t="n">
        <v>0.82</v>
      </c>
      <c r="J50" s="1" t="n">
        <f aca="false">H50*I50</f>
        <v>18.04</v>
      </c>
      <c r="K50" s="1" t="b">
        <f aca="false">FALSE()</f>
        <v>0</v>
      </c>
    </row>
    <row r="51" customFormat="false" ht="15" hidden="false" customHeight="true" outlineLevel="0" collapsed="false">
      <c r="B51" s="1" t="s">
        <v>138</v>
      </c>
      <c r="C51" s="1" t="n">
        <v>805</v>
      </c>
      <c r="E51" s="3" t="s">
        <v>139</v>
      </c>
      <c r="F51" s="1" t="n">
        <v>2</v>
      </c>
      <c r="G51" s="1" t="n">
        <f aca="false">F51*3</f>
        <v>6</v>
      </c>
      <c r="H51" s="1" t="n">
        <v>8</v>
      </c>
      <c r="I51" s="1" t="n">
        <v>1.83</v>
      </c>
      <c r="J51" s="1" t="n">
        <f aca="false">H51*I51</f>
        <v>14.64</v>
      </c>
      <c r="K51" s="1" t="b">
        <f aca="false">FALSE()</f>
        <v>0</v>
      </c>
    </row>
    <row r="52" customFormat="false" ht="15" hidden="false" customHeight="true" outlineLevel="0" collapsed="false">
      <c r="B52" s="1" t="s">
        <v>140</v>
      </c>
      <c r="C52" s="1" t="n">
        <v>805</v>
      </c>
      <c r="E52" s="3" t="s">
        <v>141</v>
      </c>
      <c r="F52" s="1" t="n">
        <v>12</v>
      </c>
      <c r="G52" s="1" t="n">
        <f aca="false">F52*3</f>
        <v>36</v>
      </c>
      <c r="H52" s="1" t="n">
        <v>42</v>
      </c>
      <c r="I52" s="1" t="n">
        <v>1.02</v>
      </c>
      <c r="J52" s="1" t="n">
        <f aca="false">H52*I52</f>
        <v>42.84</v>
      </c>
      <c r="K52" s="1" t="b">
        <f aca="false">FALSE()</f>
        <v>0</v>
      </c>
    </row>
    <row r="53" customFormat="false" ht="15" hidden="false" customHeight="true" outlineLevel="0" collapsed="false">
      <c r="B53" s="1" t="s">
        <v>142</v>
      </c>
      <c r="C53" s="1" t="n">
        <v>805</v>
      </c>
      <c r="E53" s="3" t="s">
        <v>143</v>
      </c>
      <c r="F53" s="1" t="n">
        <v>4</v>
      </c>
      <c r="G53" s="1" t="n">
        <f aca="false">F53*3</f>
        <v>12</v>
      </c>
      <c r="H53" s="1" t="n">
        <v>15</v>
      </c>
      <c r="I53" s="1" t="n">
        <v>1.32</v>
      </c>
      <c r="J53" s="1" t="n">
        <f aca="false">H53*I53</f>
        <v>19.8</v>
      </c>
      <c r="K53" s="1" t="b">
        <f aca="false">FALSE()</f>
        <v>0</v>
      </c>
    </row>
    <row r="55" customFormat="false" ht="15" hidden="false" customHeight="true" outlineLevel="0" collapsed="false">
      <c r="B55" s="1" t="s">
        <v>144</v>
      </c>
      <c r="C55" s="1" t="n">
        <v>1206</v>
      </c>
      <c r="E55" s="3" t="s">
        <v>145</v>
      </c>
      <c r="F55" s="1" t="n">
        <v>8</v>
      </c>
      <c r="G55" s="1" t="n">
        <f aca="false">F55*3</f>
        <v>24</v>
      </c>
      <c r="H55" s="1" t="n">
        <v>28</v>
      </c>
      <c r="I55" s="1" t="n">
        <v>0.82</v>
      </c>
      <c r="J55" s="1" t="n">
        <f aca="false">H55*I55</f>
        <v>22.96</v>
      </c>
      <c r="K55" s="1" t="b">
        <f aca="false">FALSE()</f>
        <v>0</v>
      </c>
    </row>
    <row r="56" customFormat="false" ht="15" hidden="false" customHeight="true" outlineLevel="0" collapsed="false">
      <c r="B56" s="1" t="s">
        <v>146</v>
      </c>
      <c r="C56" s="1" t="n">
        <v>1206</v>
      </c>
      <c r="E56" s="3" t="s">
        <v>147</v>
      </c>
      <c r="F56" s="1" t="n">
        <v>8</v>
      </c>
      <c r="G56" s="1" t="n">
        <f aca="false">F56*3</f>
        <v>24</v>
      </c>
      <c r="H56" s="1" t="n">
        <v>28</v>
      </c>
      <c r="I56" s="1" t="n">
        <v>0.92</v>
      </c>
      <c r="J56" s="1" t="n">
        <f aca="false">H56*I56</f>
        <v>25.76</v>
      </c>
      <c r="K56" s="1" t="b">
        <f aca="false">FALSE()</f>
        <v>0</v>
      </c>
    </row>
    <row r="57" customFormat="false" ht="15" hidden="false" customHeight="true" outlineLevel="0" collapsed="false">
      <c r="B57" s="1" t="s">
        <v>148</v>
      </c>
      <c r="C57" s="1" t="n">
        <v>1206</v>
      </c>
      <c r="E57" s="3" t="s">
        <v>149</v>
      </c>
      <c r="F57" s="1" t="n">
        <v>1</v>
      </c>
      <c r="G57" s="1" t="n">
        <f aca="false">F57*3</f>
        <v>3</v>
      </c>
      <c r="H57" s="1" t="n">
        <v>5</v>
      </c>
      <c r="I57" s="1" t="n">
        <v>4.08</v>
      </c>
      <c r="J57" s="1" t="n">
        <f aca="false">H57*I57</f>
        <v>20.4</v>
      </c>
      <c r="K57" s="1" t="b">
        <f aca="false">FALSE()</f>
        <v>0</v>
      </c>
    </row>
    <row r="59" customFormat="false" ht="15" hidden="false" customHeight="true" outlineLevel="0" collapsed="false">
      <c r="B59" s="1" t="s">
        <v>150</v>
      </c>
      <c r="C59" s="1" t="n">
        <v>1210</v>
      </c>
      <c r="E59" s="3" t="s">
        <v>151</v>
      </c>
      <c r="F59" s="1" t="n">
        <v>1</v>
      </c>
      <c r="G59" s="1" t="n">
        <f aca="false">F59*3</f>
        <v>3</v>
      </c>
      <c r="H59" s="1" t="n">
        <v>4</v>
      </c>
      <c r="I59" s="1" t="n">
        <v>16.61</v>
      </c>
      <c r="J59" s="1" t="n">
        <f aca="false">H59*I59</f>
        <v>66.44</v>
      </c>
      <c r="K59" s="1" t="b">
        <f aca="false">FALSE()</f>
        <v>0</v>
      </c>
    </row>
    <row r="61" customFormat="false" ht="15" hidden="false" customHeight="true" outlineLevel="0" collapsed="false">
      <c r="B61" s="1" t="s">
        <v>152</v>
      </c>
    </row>
    <row r="62" customFormat="false" ht="15" hidden="false" customHeight="true" outlineLevel="0" collapsed="false">
      <c r="B62" s="1" t="s">
        <v>153</v>
      </c>
      <c r="C62" s="1" t="n">
        <v>805</v>
      </c>
      <c r="E62" s="3" t="s">
        <v>154</v>
      </c>
      <c r="F62" s="1" t="n">
        <v>2</v>
      </c>
      <c r="G62" s="1" t="n">
        <f aca="false">F62*3</f>
        <v>6</v>
      </c>
      <c r="H62" s="1" t="n">
        <v>8</v>
      </c>
      <c r="I62" s="1" t="n">
        <v>1.73</v>
      </c>
      <c r="J62" s="1" t="n">
        <f aca="false">H62*I62</f>
        <v>13.84</v>
      </c>
      <c r="K62" s="1" t="b">
        <f aca="false">FALSE()</f>
        <v>0</v>
      </c>
    </row>
    <row r="63" customFormat="false" ht="15" hidden="false" customHeight="true" outlineLevel="0" collapsed="false">
      <c r="B63" s="1" t="s">
        <v>155</v>
      </c>
      <c r="C63" s="1" t="n">
        <v>805</v>
      </c>
      <c r="E63" s="3" t="s">
        <v>156</v>
      </c>
      <c r="F63" s="1" t="n">
        <v>2</v>
      </c>
      <c r="G63" s="1" t="n">
        <f aca="false">F63*3</f>
        <v>6</v>
      </c>
      <c r="H63" s="1" t="n">
        <v>8</v>
      </c>
      <c r="I63" s="1" t="n">
        <v>2.45</v>
      </c>
      <c r="J63" s="1" t="n">
        <f aca="false">H63*I63</f>
        <v>19.6</v>
      </c>
      <c r="K63" s="1" t="b">
        <f aca="false">FALSE()</f>
        <v>0</v>
      </c>
    </row>
    <row r="64" customFormat="false" ht="15" hidden="false" customHeight="true" outlineLevel="0" collapsed="false">
      <c r="B64" s="1" t="s">
        <v>157</v>
      </c>
      <c r="C64" s="1" t="n">
        <v>805</v>
      </c>
      <c r="E64" s="3" t="s">
        <v>158</v>
      </c>
      <c r="F64" s="1" t="n">
        <v>1</v>
      </c>
      <c r="G64" s="1" t="n">
        <f aca="false">F64*3</f>
        <v>3</v>
      </c>
      <c r="H64" s="1" t="n">
        <v>5</v>
      </c>
      <c r="I64" s="1" t="n">
        <v>1.73</v>
      </c>
      <c r="J64" s="1" t="n">
        <f aca="false">H64*I64</f>
        <v>8.65</v>
      </c>
      <c r="K64" s="1" t="b">
        <f aca="false">FALSE()</f>
        <v>0</v>
      </c>
    </row>
    <row r="66" customFormat="false" ht="15" hidden="false" customHeight="true" outlineLevel="0" collapsed="false">
      <c r="I66" s="1" t="s">
        <v>159</v>
      </c>
      <c r="J66" s="1" t="n">
        <f aca="false">SUM(J3:J65)</f>
        <v>9908.96</v>
      </c>
      <c r="K66" s="1" t="s">
        <v>160</v>
      </c>
    </row>
    <row r="1048576" customFormat="false" ht="12.75" hidden="false" customHeight="true" outlineLevel="0" collapsed="false"/>
  </sheetData>
  <hyperlinks>
    <hyperlink ref="E3" r:id="rId1" display="https://www.digikey.no/no/products/detail/stmicroelectronics/STM32U5G7VJT6Q/21700656"/>
    <hyperlink ref="E4" r:id="rId2" display="https://www.digikey.no/no/products/detail/hirose-electric-co-ltd/FH12-45S-0-5SH-55/1110329"/>
    <hyperlink ref="E5" r:id="rId3" display="https://www.digikey.no/no/products/detail/hirose-electric-co-ltd/FH12-6S-1SH-55/1110359?s=N4IgTCBcDaIGIAkCMYC0A2AyqpmEAoBWQgShAF0BfIA"/>
    <hyperlink ref="E6" r:id="rId4" display="https://www.digikey.no/no/products/detail/adafruit-industries-llc/1492/5154671"/>
    <hyperlink ref="E7" r:id="rId5" display="https://www.digikey.no/no/products/detail/chip-quik-inc/FPC100P010/5014766"/>
    <hyperlink ref="E8" r:id="rId6" display="https://no.mouser.com/ProductDetail/Displaytech/DT043CTFT-IPS-PTS?qs=sGAEpiMZZMt7dcPGmvnkBgpwamjCGwcHY0DbS%252B%2F%2FaodWnRIGq7eMYg%3D%3D"/>
    <hyperlink ref="E9" r:id="rId7" display="https://www.digikey.no/no/products/detail/same-sky-formerly-cui-devices/PJ-002A/96962 "/>
    <hyperlink ref="E10" r:id="rId8" display="https://www.digikey.no/no/products/detail/phihong-usa/PSA15R-150P6-R/5247157"/>
    <hyperlink ref="E11" r:id="rId9" display="https://www.digikey.no/no/products/detail/stmicroelectronics/STLINK-V3MINIE/16284301 "/>
    <hyperlink ref="E12" r:id="rId10" display="https://www.digikey.no/no/products/detail/on-shore-technology-inc/USB-A1HSW6/2677750 "/>
    <hyperlink ref="E14" r:id="rId11" display="https://www.digikey.no/no/products/detail/liteon/LTST-C193KGKT-5A/2356242 "/>
    <hyperlink ref="E15" r:id="rId12" display="https://www.digikey.no/no/products/detail/liteon/LTST-C193KRKT-5A/2356244 "/>
    <hyperlink ref="E16" r:id="rId13" display="https://www.digikey.no/no/products/detail/murata-electronics/XRCGB48M000F4M00R0/2368388 "/>
    <hyperlink ref="E17" r:id="rId14" display="https://www.digikey.no/no/products/detail/connor-winfield/CWX813-100-0M/695541 "/>
    <hyperlink ref="E18" r:id="rId15" display="https://www.digikey.no/no/products/detail/gigadevice-semiconductor-hk-limited/GD25F128FS2GR/20531633 "/>
    <hyperlink ref="E19" r:id="rId16" display="https://www.digikey.no/no/products/detail/texas-instruments/TPS54294PWP/2812688 "/>
    <hyperlink ref="E20" r:id="rId17" display="https://www.digikey.no/no/products/detail/issi-integrated-silicon-solution-inc/IS66WVH16M8DBLL-100B1LI/6202025 "/>
    <hyperlink ref="E25" r:id="rId18" display="https://www.digikey.no/no/products/detail/amd/XC7A100T-2FTG256I/3925791?s=N4IgTCBcDaIBoGEDsBBAjABgwFQLRgDFsBxMAVgDYBJEAXQF8g "/>
    <hyperlink ref="E26" r:id="rId19" display="https://www.digikey.no/en/products/detail/amphenol-cs-commercial-products/L77HDE15SD1CH4RHNVGA/25816614 "/>
    <hyperlink ref="E31" r:id="rId20" display="https://www.digikey.no/no/products/detail/stackpole-electronics-inc/RMCF0805JT47R0/1757848 "/>
    <hyperlink ref="E32" r:id="rId21" display="https://www.digikey.no/no/products/detail/panasonic-electronic-components/ERA-6AEB101V/1465724 "/>
    <hyperlink ref="E33" r:id="rId22" display="https://www.digikey.no/no/products/detail/vishay-dale/CRCW0805270RFKEAC/7922379  "/>
    <hyperlink ref="E34" r:id="rId23" display="https://www.digikey.no/no/products/detail/stackpole-electronics-inc/RMCF0805FT330R/1760484"/>
    <hyperlink ref="E35" r:id="rId24" display="https://www.digikey.no/no/products/detail/yageo/RC0805FR-07536RL/728026 "/>
    <hyperlink ref="E36" r:id="rId25" display="https://www.digikey.no/no/products/detail/yageo/RC0805FR-072K4L/727690"/>
    <hyperlink ref="E37" r:id="rId26" display="https://www.digikey.no/no/products/detail/vishay-dale/CRCW08054K70FKEAC/7928553 "/>
    <hyperlink ref="E38" r:id="rId27" display="https://www.digikey.no/no/products/detail/yageo/RC0805FR-076K81L/728068 "/>
    <hyperlink ref="E39" r:id="rId28" display="https://www.digikey.no/no/products/detail/susumu/RR1220P-103-D/432315 "/>
    <hyperlink ref="E40" r:id="rId29" display="https://www.digikey.no/no/products/detail/stackpole-electronics-inc/RMCF0805FT22K1/1760211 "/>
    <hyperlink ref="E41" r:id="rId30" display="https://www.digikey.no/no/products/detail/vishay-dale/CRCW080530K1FKEA/1175804 "/>
    <hyperlink ref="E42" r:id="rId31" display="https://www.digikey.no/no/products/detail/panasonic-electronic-components/ERA-6AEB7322V/2025832 "/>
    <hyperlink ref="E43" r:id="rId32" display="https://www.digikey.no/no/products/detail/susumu/RG2012P-104-B-T5/1240656 "/>
    <hyperlink ref="E44" r:id="rId33" display="https://www.digikey.no/no/products/detail/yageo/RC0805FR-07124KL/727580 "/>
    <hyperlink ref="E47" r:id="rId34" display="https://www.digikey.no/no/products/detail/kyocera-avx/08055A6R0CAT2A/1602729 "/>
    <hyperlink ref="E48" r:id="rId35" display="https://www.digikey.no/no/products/detail/kemet/C0805C104K5RACTU/411169 "/>
    <hyperlink ref="E49" r:id="rId36" display="https://www.digikey.no/no/products/detail/murata-electronics/GCJ21BR71H474KA12L/2783815 "/>
    <hyperlink ref="E50" r:id="rId37" display="https://www.digikey.no/no/products/detail/samsung-electro-mechanics/CL21B105KAFNNNE/3886724 "/>
    <hyperlink ref="E51" r:id="rId38" display="https://www.digikey.no/no/products/detail/tdk-corporation/C2012X7R1C225K125AB/569046 "/>
    <hyperlink ref="E52" r:id="rId39" display="https://www.digikey.no/no/products/detail/samsung-electro-mechanics/CL21A475KAQNNNE/3886902 "/>
    <hyperlink ref="E53" r:id="rId40" display="https://www.digikey.no/no/products/detail/samsung-electro-mechanics/CL21A476MQYNNNE/3887510 "/>
    <hyperlink ref="E55" r:id="rId41" display="https://www.digikey.no/no/products/detail/samsung-electro-mechanics/CL31B106KAHNNNE/3887462"/>
    <hyperlink ref="E56" r:id="rId42" display="https://www.digikey.no/no/products/detail/samsung-electro-mechanics/CL31A226KAHNNNE/3888705 "/>
    <hyperlink ref="E57" r:id="rId43" display="https://www.digikey.no/no/products/detail/samsung-electro-mechanics/CL31A107MQHNNWE/10479833 "/>
    <hyperlink ref="E59" r:id="rId44" display="https://www.digikey.no/no/products/detail/murata-electronics/GRM32ER60G337ME05L/6155746 "/>
    <hyperlink ref="E62" r:id="rId45" display="https://www.digikey.no/no/products/detail/murata-electronics/LQM21PN1R5MC0D/1788280"/>
    <hyperlink ref="E63" r:id="rId46" display="https://www.digikey.no/no/products/detail/murata-electronics/DFE201210U-2R2M-P2/7595453 "/>
    <hyperlink ref="E64" r:id="rId47" display="https://www.digikey.no/no/products/detail/murata-electronics/LQM21PN3R3MGRD/4359175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2025-09-24T21:49:54Z</dcterms:created>
  <dc:creator/>
  <dc:description/>
  <dc:language>de-DE</dc:language>
  <cp:lastModifiedBy/>
  <dcterms:modified xsi:type="dcterms:W3CDTF">2025-10-01T01:14:06Z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